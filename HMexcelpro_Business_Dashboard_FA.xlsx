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showInkAnnotation="0"/>
  <xr:revisionPtr revIDLastSave="0" documentId="8_{B9047F43-BE7D-524B-B95A-E3FFECDBBEB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داده‌ها" sheetId="1" r:id="rId1"/>
    <sheet name="موجودی" sheetId="2" r:id="rId2"/>
    <sheet name="داشبورد مدیریتی" sheetId="3" r:id="rId3"/>
    <sheet name="ورود داده" sheetId="4" r:id="rId4"/>
    <sheet name="راهنما" sheetId="5" r:id="rId5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B21" i="3"/>
  <c r="C20" i="3"/>
  <c r="B20" i="3"/>
  <c r="C19" i="3"/>
  <c r="B19" i="3"/>
  <c r="G18" i="3"/>
  <c r="C18" i="3"/>
  <c r="B18" i="3"/>
  <c r="G17" i="3"/>
  <c r="C17" i="3"/>
  <c r="B17" i="3"/>
  <c r="G16" i="3"/>
  <c r="C16" i="3"/>
  <c r="B16" i="3"/>
  <c r="C15" i="3"/>
  <c r="B15" i="3"/>
  <c r="C14" i="3"/>
  <c r="B14" i="3"/>
  <c r="K13" i="3"/>
  <c r="J13" i="3"/>
  <c r="C13" i="3"/>
  <c r="B13" i="3"/>
  <c r="K12" i="3"/>
  <c r="J12" i="3"/>
  <c r="G12" i="3"/>
  <c r="F12" i="3"/>
  <c r="C12" i="3"/>
  <c r="B12" i="3"/>
  <c r="K11" i="3"/>
  <c r="J11" i="3"/>
  <c r="G11" i="3"/>
  <c r="F11" i="3"/>
  <c r="C11" i="3"/>
  <c r="B11" i="3"/>
  <c r="K10" i="3"/>
  <c r="J10" i="3"/>
  <c r="G10" i="3"/>
  <c r="F10" i="3"/>
  <c r="C10" i="3"/>
  <c r="B10" i="3"/>
  <c r="J5" i="3"/>
  <c r="G5" i="3"/>
  <c r="D5" i="3"/>
  <c r="A5" i="3"/>
</calcChain>
</file>

<file path=xl/sharedStrings.xml><?xml version="1.0" encoding="utf-8"?>
<sst xmlns="http://schemas.openxmlformats.org/spreadsheetml/2006/main" count="190" uniqueCount="53">
  <si>
    <t>تاریخ</t>
  </si>
  <si>
    <t>محصول</t>
  </si>
  <si>
    <t>دسته‌بندی</t>
  </si>
  <si>
    <t>فروشنده</t>
  </si>
  <si>
    <t>تعداد</t>
  </si>
  <si>
    <t>فروش</t>
  </si>
  <si>
    <t>هزینه</t>
  </si>
  <si>
    <t>سود</t>
  </si>
  <si>
    <t>Laptop Pro</t>
  </si>
  <si>
    <t>Electronics</t>
  </si>
  <si>
    <t>Sara</t>
  </si>
  <si>
    <t>Monitor 27</t>
  </si>
  <si>
    <t>Ali</t>
  </si>
  <si>
    <t>Office Chair</t>
  </si>
  <si>
    <t>Furniture</t>
  </si>
  <si>
    <t>Nima</t>
  </si>
  <si>
    <t>Standing Desk</t>
  </si>
  <si>
    <t>Mina</t>
  </si>
  <si>
    <t>Keyboard</t>
  </si>
  <si>
    <t>Accessories</t>
  </si>
  <si>
    <t>Mouse</t>
  </si>
  <si>
    <t>موجودی اولیه</t>
  </si>
  <si>
    <t>تعداد فروخته‌شده</t>
  </si>
  <si>
    <t>موجودی فعلی</t>
  </si>
  <si>
    <t>حد سفارش</t>
  </si>
  <si>
    <t>وضعیت</t>
  </si>
  <si>
    <t>بهای واحد</t>
  </si>
  <si>
    <t>ارزش موجودی</t>
  </si>
  <si>
    <t>IN STOCK</t>
  </si>
  <si>
    <t>HMexcelpro | داشبورد عملکرد کسب‌وکار</t>
  </si>
  <si>
    <t>کل فروش</t>
  </si>
  <si>
    <t>کل سود</t>
  </si>
  <si>
    <t>حاشیه سود</t>
  </si>
  <si>
    <t>تعداد فروش</t>
  </si>
  <si>
    <t>ماه</t>
  </si>
  <si>
    <t>نمای کلی موجودی</t>
  </si>
  <si>
    <t>ارزش کل موجودی</t>
  </si>
  <si>
    <t>اقلام کم‌موجود</t>
  </si>
  <si>
    <t>تعداد محصولات</t>
  </si>
  <si>
    <t>ورود اطلاعات فروش</t>
  </si>
  <si>
    <t>راهنمای داشبورد کسب‌وکار HMexcelpro</t>
  </si>
  <si>
    <t>هدف</t>
  </si>
  <si>
    <t>نمونه‌کار حرفه‌ای Excel برای تحلیل فروش، سود، عملکرد فروشنده‌ها و موجودی.</t>
  </si>
  <si>
    <t>داده‌ها</t>
  </si>
  <si>
    <t>داده‌های آزمایشی فروش و هزینه در این شیت قرار دارد.</t>
  </si>
  <si>
    <t>موجودی</t>
  </si>
  <si>
    <t>موجودی فعلی، حد سفارش و ارزش موجودی را نمایش می‌دهد.</t>
  </si>
  <si>
    <t>داشبورد</t>
  </si>
  <si>
    <t>KPIها، روند ماهانه، دسته‌بندی‌ها، فروشنده‌ها و وضعیت موجودی را نمایش می‌دهد.</t>
  </si>
  <si>
    <t>ورود داده</t>
  </si>
  <si>
    <t>بخش ساختاریافته برای آماده‌سازی رکوردهای جدید فروش.</t>
  </si>
  <si>
    <t>نکته</t>
  </si>
  <si>
    <t>داده‌های این فایل آزمایشی و مخصوص نمونه‌کار هستند.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</si>
</sst>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0.0%"/>
    <numFmt numFmtId="166" formatCode="mmm"/>
  </numFmts>
  <fonts count="8" x14ac:knownFonts="1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b/>
      <sz val="11"/>
      <color rgb="FF17365D"/>
      <name val="Carlito"/>
    </font>
    <font>
      <b/>
      <sz val="16"/>
      <name val="Carlito"/>
    </font>
    <font>
      <b/>
      <sz val="17"/>
      <color rgb="FFFFFFFF"/>
      <name val="Carlito"/>
    </font>
    <font>
      <b/>
      <sz val="11"/>
      <name val="Carlito"/>
    </font>
    <font>
      <b/>
      <sz val="18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3" fontId="0" fillId="0" borderId="0" xfId="0" applyNumberFormat="1" applyFont="1" applyFill="1" applyBorder="1"/>
    <xf numFmtId="166" fontId="0" fillId="0" borderId="0" xfId="0" applyNumberFormat="1" applyFont="1" applyFill="1" applyBorder="1"/>
    <xf numFmtId="0" fontId="6" fillId="4" borderId="0" xfId="0" applyNumberFormat="1" applyFont="1" applyFill="1" applyBorder="1"/>
    <xf numFmtId="0" fontId="6" fillId="4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horizontal="center" vertical="center"/>
    </xf>
    <xf numFmtId="0" fontId="3" fillId="4" borderId="0" xfId="0" applyNumberFormat="1" applyFont="1" applyFill="1" applyBorder="1" applyAlignment="1">
      <alignment horizontal="center"/>
    </xf>
    <xf numFmtId="3" fontId="4" fillId="5" borderId="0" xfId="0" applyNumberFormat="1" applyFont="1" applyFill="1" applyBorder="1" applyAlignment="1">
      <alignment horizontal="center"/>
    </xf>
    <xf numFmtId="165" fontId="4" fillId="5" borderId="0" xfId="0" applyNumberFormat="1" applyFont="1" applyFill="1" applyBorder="1" applyAlignment="1">
      <alignment horizontal="center"/>
    </xf>
    <xf numFmtId="1" fontId="4" fillId="5" borderId="0" xfId="0" applyNumberFormat="1" applyFont="1" applyFill="1" applyBorder="1" applyAlignment="1">
      <alignment horizontal="center"/>
    </xf>
    <xf numFmtId="0" fontId="5" fillId="3" borderId="0" xfId="0" applyNumberFormat="1" applyFont="1" applyFill="1" applyBorder="1" applyAlignment="1">
      <alignment horizontal="center"/>
    </xf>
    <xf numFmtId="0" fontId="7" fillId="3" borderId="0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bgColor rgb="FFD9EAD3"/>
        </patternFill>
      </fill>
    </dxf>
    <dxf>
      <font>
        <b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 /><Relationship Id="rId3" Type="http://schemas.openxmlformats.org/officeDocument/2006/relationships/worksheet" Target="worksheets/sheet3.xml" /><Relationship Id="rId7" Type="http://schemas.openxmlformats.org/officeDocument/2006/relationships/styles" Target="styl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9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روند ماهانه فروش و سود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فروش</c:v>
          </c:tx>
          <c:marker>
            <c:symbol val="none"/>
          </c:marker>
          <c:cat>
            <c:numRef>
              <c:f>'داشبورد مدیریتی'!$A$10:$A$21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'داشبورد مدیریتی'!$B$10:$B$21</c:f>
              <c:numCache>
                <c:formatCode>#,##0</c:formatCode>
                <c:ptCount val="12"/>
                <c:pt idx="0">
                  <c:v>5960</c:v>
                </c:pt>
                <c:pt idx="1">
                  <c:v>3855</c:v>
                </c:pt>
                <c:pt idx="2">
                  <c:v>5140</c:v>
                </c:pt>
                <c:pt idx="3">
                  <c:v>2835</c:v>
                </c:pt>
                <c:pt idx="4">
                  <c:v>5615</c:v>
                </c:pt>
                <c:pt idx="5">
                  <c:v>4160</c:v>
                </c:pt>
                <c:pt idx="6">
                  <c:v>4335</c:v>
                </c:pt>
                <c:pt idx="7">
                  <c:v>5960</c:v>
                </c:pt>
                <c:pt idx="8">
                  <c:v>2015</c:v>
                </c:pt>
                <c:pt idx="9">
                  <c:v>6980</c:v>
                </c:pt>
                <c:pt idx="10">
                  <c:v>995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45A-9246-A745-BD13BCA0792F}"/>
            </c:ext>
          </c:extLst>
        </c:ser>
        <c:ser>
          <c:idx val="1"/>
          <c:order val="1"/>
          <c:tx>
            <c:v>سود</c:v>
          </c:tx>
          <c:marker>
            <c:symbol val="none"/>
          </c:marker>
          <c:cat>
            <c:numRef>
              <c:f>'داشبورد مدیریتی'!$A$10:$A$21</c:f>
              <c:numCache>
                <c:formatCode>mmm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'داشبورد مدیریتی'!$C$10:$C$21</c:f>
              <c:numCache>
                <c:formatCode>#,##0</c:formatCode>
                <c:ptCount val="12"/>
                <c:pt idx="0">
                  <c:v>1665</c:v>
                </c:pt>
                <c:pt idx="1">
                  <c:v>1217</c:v>
                </c:pt>
                <c:pt idx="2">
                  <c:v>1485</c:v>
                </c:pt>
                <c:pt idx="3">
                  <c:v>937</c:v>
                </c:pt>
                <c:pt idx="4">
                  <c:v>1690</c:v>
                </c:pt>
                <c:pt idx="5">
                  <c:v>1257</c:v>
                </c:pt>
                <c:pt idx="6">
                  <c:v>1437</c:v>
                </c:pt>
                <c:pt idx="7">
                  <c:v>1665</c:v>
                </c:pt>
                <c:pt idx="8">
                  <c:v>757</c:v>
                </c:pt>
                <c:pt idx="9">
                  <c:v>1945</c:v>
                </c:pt>
                <c:pt idx="10">
                  <c:v>477</c:v>
                </c:pt>
                <c:pt idx="11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45A-9246-A745-BD13BCA07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/>
          <a:lstStyle/>
          <a:p>
            <a:r>
              <a:t>عملکرد دسته‌بندی‌ها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فروش</c:v>
          </c:tx>
          <c:invertIfNegative val="1"/>
          <c:cat>
            <c:strRef>
              <c:f>'داشبورد مدیریتی'!$E$10:$E$12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'داشبورد مدیریتی'!$F$10:$F$12</c:f>
              <c:numCache>
                <c:formatCode>#,##0</c:formatCode>
                <c:ptCount val="3"/>
                <c:pt idx="0">
                  <c:v>21840</c:v>
                </c:pt>
                <c:pt idx="1">
                  <c:v>20040</c:v>
                </c:pt>
                <c:pt idx="2">
                  <c:v>5970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F-8E4D-9967-0446257720AE}"/>
            </c:ext>
          </c:extLst>
        </c:ser>
        <c:ser>
          <c:idx val="1"/>
          <c:order val="1"/>
          <c:tx>
            <c:v>سود</c:v>
          </c:tx>
          <c:invertIfNegative val="1"/>
          <c:cat>
            <c:strRef>
              <c:f>'داشبورد مدیریتی'!$E$10:$E$12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Accessories</c:v>
                </c:pt>
              </c:strCache>
            </c:strRef>
          </c:cat>
          <c:val>
            <c:numRef>
              <c:f>'داشبورد مدیریتی'!$G$10:$G$12</c:f>
              <c:numCache>
                <c:formatCode>#,##0</c:formatCode>
                <c:ptCount val="3"/>
                <c:pt idx="0">
                  <c:v>5910</c:v>
                </c:pt>
                <c:pt idx="1">
                  <c:v>5760</c:v>
                </c:pt>
                <c:pt idx="2">
                  <c:v>2862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AF-8E4D-9967-0446257720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 /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0</xdr:rowOff>
    </xdr:from>
    <xdr:to>
      <xdr:col>6</xdr:col>
      <xdr:colOff>0</xdr:colOff>
      <xdr:row>39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23</xdr:row>
      <xdr:rowOff>0</xdr:rowOff>
    </xdr:from>
    <xdr:to>
      <xdr:col>12</xdr:col>
      <xdr:colOff>0</xdr:colOff>
      <xdr:row>39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tabSelected="1" zoomScaleNormal="60" zoomScaleSheetLayoutView="100" workbookViewId="0"/>
  </sheetViews>
  <sheetFormatPr defaultRowHeight="15" x14ac:dyDescent="0.2"/>
  <cols>
    <col min="1" max="1" width="13.98828125" customWidth="1"/>
    <col min="2" max="2" width="18.0234375" customWidth="1"/>
    <col min="3" max="3" width="16.0078125" customWidth="1"/>
    <col min="4" max="4" width="13.98828125" customWidth="1"/>
    <col min="5" max="5" width="9.953125" customWidth="1"/>
    <col min="6" max="8" width="13.98828125" customWidth="1"/>
  </cols>
  <sheetData>
    <row r="1" spans="1:8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">
      <c r="A2" s="3">
        <v>46027</v>
      </c>
      <c r="B2" t="s">
        <v>8</v>
      </c>
      <c r="C2" t="s">
        <v>9</v>
      </c>
      <c r="D2" t="s">
        <v>10</v>
      </c>
      <c r="E2" s="4">
        <v>2</v>
      </c>
      <c r="F2" s="5">
        <v>1840</v>
      </c>
      <c r="G2" s="5">
        <v>1380</v>
      </c>
      <c r="H2" s="5">
        <v>460</v>
      </c>
    </row>
    <row r="3" spans="1:8" x14ac:dyDescent="0.2">
      <c r="A3" s="3">
        <v>46036</v>
      </c>
      <c r="B3" t="s">
        <v>11</v>
      </c>
      <c r="C3" t="s">
        <v>9</v>
      </c>
      <c r="D3" t="s">
        <v>12</v>
      </c>
      <c r="E3" s="4">
        <v>5</v>
      </c>
      <c r="F3" s="5">
        <v>1800</v>
      </c>
      <c r="G3" s="5">
        <v>1275</v>
      </c>
      <c r="H3" s="5">
        <v>525</v>
      </c>
    </row>
    <row r="4" spans="1:8" x14ac:dyDescent="0.2">
      <c r="A4" s="3">
        <v>46045</v>
      </c>
      <c r="B4" t="s">
        <v>13</v>
      </c>
      <c r="C4" t="s">
        <v>14</v>
      </c>
      <c r="D4" t="s">
        <v>15</v>
      </c>
      <c r="E4" s="4">
        <v>8</v>
      </c>
      <c r="F4" s="5">
        <v>2320</v>
      </c>
      <c r="G4" s="5">
        <v>1640</v>
      </c>
      <c r="H4" s="5">
        <v>680</v>
      </c>
    </row>
    <row r="5" spans="1:8" x14ac:dyDescent="0.2">
      <c r="A5" s="3">
        <v>46054</v>
      </c>
      <c r="B5" t="s">
        <v>16</v>
      </c>
      <c r="C5" t="s">
        <v>14</v>
      </c>
      <c r="D5" t="s">
        <v>17</v>
      </c>
      <c r="E5" s="4">
        <v>2</v>
      </c>
      <c r="F5" s="5">
        <v>1020</v>
      </c>
      <c r="G5" s="5">
        <v>740</v>
      </c>
      <c r="H5" s="5">
        <v>280</v>
      </c>
    </row>
    <row r="6" spans="1:8" x14ac:dyDescent="0.2">
      <c r="A6" s="3">
        <v>46063</v>
      </c>
      <c r="B6" t="s">
        <v>18</v>
      </c>
      <c r="C6" t="s">
        <v>19</v>
      </c>
      <c r="D6" t="s">
        <v>10</v>
      </c>
      <c r="E6" s="4">
        <v>5</v>
      </c>
      <c r="F6" s="5">
        <v>475</v>
      </c>
      <c r="G6" s="5">
        <v>270</v>
      </c>
      <c r="H6" s="5">
        <v>205</v>
      </c>
    </row>
    <row r="7" spans="1:8" x14ac:dyDescent="0.2">
      <c r="A7" s="3">
        <v>46072</v>
      </c>
      <c r="B7" t="s">
        <v>20</v>
      </c>
      <c r="C7" t="s">
        <v>19</v>
      </c>
      <c r="D7" t="s">
        <v>12</v>
      </c>
      <c r="E7" s="4">
        <v>8</v>
      </c>
      <c r="F7" s="5">
        <v>520</v>
      </c>
      <c r="G7" s="5">
        <v>248</v>
      </c>
      <c r="H7" s="5">
        <v>272</v>
      </c>
    </row>
    <row r="8" spans="1:8" x14ac:dyDescent="0.2">
      <c r="A8" s="3">
        <v>46081</v>
      </c>
      <c r="B8" t="s">
        <v>8</v>
      </c>
      <c r="C8" t="s">
        <v>9</v>
      </c>
      <c r="D8" t="s">
        <v>15</v>
      </c>
      <c r="E8" s="4">
        <v>2</v>
      </c>
      <c r="F8" s="5">
        <v>1840</v>
      </c>
      <c r="G8" s="5">
        <v>1380</v>
      </c>
      <c r="H8" s="5">
        <v>460</v>
      </c>
    </row>
    <row r="9" spans="1:8" x14ac:dyDescent="0.2">
      <c r="A9" s="3">
        <v>46090</v>
      </c>
      <c r="B9" t="s">
        <v>11</v>
      </c>
      <c r="C9" t="s">
        <v>9</v>
      </c>
      <c r="D9" t="s">
        <v>17</v>
      </c>
      <c r="E9" s="4">
        <v>5</v>
      </c>
      <c r="F9" s="5">
        <v>1800</v>
      </c>
      <c r="G9" s="5">
        <v>1275</v>
      </c>
      <c r="H9" s="5">
        <v>525</v>
      </c>
    </row>
    <row r="10" spans="1:8" x14ac:dyDescent="0.2">
      <c r="A10" s="3">
        <v>46099</v>
      </c>
      <c r="B10" t="s">
        <v>13</v>
      </c>
      <c r="C10" t="s">
        <v>14</v>
      </c>
      <c r="D10" t="s">
        <v>10</v>
      </c>
      <c r="E10" s="4">
        <v>8</v>
      </c>
      <c r="F10" s="5">
        <v>2320</v>
      </c>
      <c r="G10" s="5">
        <v>1640</v>
      </c>
      <c r="H10" s="5">
        <v>680</v>
      </c>
    </row>
    <row r="11" spans="1:8" x14ac:dyDescent="0.2">
      <c r="A11" s="3">
        <v>46108</v>
      </c>
      <c r="B11" t="s">
        <v>16</v>
      </c>
      <c r="C11" t="s">
        <v>14</v>
      </c>
      <c r="D11" t="s">
        <v>12</v>
      </c>
      <c r="E11" s="4">
        <v>2</v>
      </c>
      <c r="F11" s="5">
        <v>1020</v>
      </c>
      <c r="G11" s="5">
        <v>740</v>
      </c>
      <c r="H11" s="5">
        <v>280</v>
      </c>
    </row>
    <row r="12" spans="1:8" x14ac:dyDescent="0.2">
      <c r="A12" s="3">
        <v>46117</v>
      </c>
      <c r="B12" t="s">
        <v>18</v>
      </c>
      <c r="C12" t="s">
        <v>19</v>
      </c>
      <c r="D12" t="s">
        <v>15</v>
      </c>
      <c r="E12" s="4">
        <v>5</v>
      </c>
      <c r="F12" s="5">
        <v>475</v>
      </c>
      <c r="G12" s="5">
        <v>270</v>
      </c>
      <c r="H12" s="5">
        <v>205</v>
      </c>
    </row>
    <row r="13" spans="1:8" x14ac:dyDescent="0.2">
      <c r="A13" s="3">
        <v>46126</v>
      </c>
      <c r="B13" t="s">
        <v>20</v>
      </c>
      <c r="C13" t="s">
        <v>19</v>
      </c>
      <c r="D13" t="s">
        <v>17</v>
      </c>
      <c r="E13" s="4">
        <v>8</v>
      </c>
      <c r="F13" s="5">
        <v>520</v>
      </c>
      <c r="G13" s="5">
        <v>248</v>
      </c>
      <c r="H13" s="5">
        <v>272</v>
      </c>
    </row>
    <row r="14" spans="1:8" x14ac:dyDescent="0.2">
      <c r="A14" s="3">
        <v>46135</v>
      </c>
      <c r="B14" t="s">
        <v>8</v>
      </c>
      <c r="C14" t="s">
        <v>9</v>
      </c>
      <c r="D14" t="s">
        <v>10</v>
      </c>
      <c r="E14" s="4">
        <v>2</v>
      </c>
      <c r="F14" s="5">
        <v>1840</v>
      </c>
      <c r="G14" s="5">
        <v>1380</v>
      </c>
      <c r="H14" s="5">
        <v>460</v>
      </c>
    </row>
    <row r="15" spans="1:8" x14ac:dyDescent="0.2">
      <c r="A15" s="3">
        <v>46144</v>
      </c>
      <c r="B15" t="s">
        <v>11</v>
      </c>
      <c r="C15" t="s">
        <v>9</v>
      </c>
      <c r="D15" t="s">
        <v>12</v>
      </c>
      <c r="E15" s="4">
        <v>5</v>
      </c>
      <c r="F15" s="5">
        <v>1800</v>
      </c>
      <c r="G15" s="5">
        <v>1275</v>
      </c>
      <c r="H15" s="5">
        <v>525</v>
      </c>
    </row>
    <row r="16" spans="1:8" x14ac:dyDescent="0.2">
      <c r="A16" s="3">
        <v>46153</v>
      </c>
      <c r="B16" t="s">
        <v>13</v>
      </c>
      <c r="C16" t="s">
        <v>14</v>
      </c>
      <c r="D16" t="s">
        <v>15</v>
      </c>
      <c r="E16" s="4">
        <v>8</v>
      </c>
      <c r="F16" s="5">
        <v>2320</v>
      </c>
      <c r="G16" s="5">
        <v>1640</v>
      </c>
      <c r="H16" s="5">
        <v>680</v>
      </c>
    </row>
    <row r="17" spans="1:8" x14ac:dyDescent="0.2">
      <c r="A17" s="3">
        <v>46162</v>
      </c>
      <c r="B17" t="s">
        <v>16</v>
      </c>
      <c r="C17" t="s">
        <v>14</v>
      </c>
      <c r="D17" t="s">
        <v>17</v>
      </c>
      <c r="E17" s="4">
        <v>2</v>
      </c>
      <c r="F17" s="5">
        <v>1020</v>
      </c>
      <c r="G17" s="5">
        <v>740</v>
      </c>
      <c r="H17" s="5">
        <v>280</v>
      </c>
    </row>
    <row r="18" spans="1:8" x14ac:dyDescent="0.2">
      <c r="A18" s="3">
        <v>46171</v>
      </c>
      <c r="B18" t="s">
        <v>18</v>
      </c>
      <c r="C18" t="s">
        <v>19</v>
      </c>
      <c r="D18" t="s">
        <v>10</v>
      </c>
      <c r="E18" s="4">
        <v>5</v>
      </c>
      <c r="F18" s="5">
        <v>475</v>
      </c>
      <c r="G18" s="5">
        <v>270</v>
      </c>
      <c r="H18" s="5">
        <v>205</v>
      </c>
    </row>
    <row r="19" spans="1:8" x14ac:dyDescent="0.2">
      <c r="A19" s="3">
        <v>46180</v>
      </c>
      <c r="B19" t="s">
        <v>20</v>
      </c>
      <c r="C19" t="s">
        <v>19</v>
      </c>
      <c r="D19" t="s">
        <v>12</v>
      </c>
      <c r="E19" s="4">
        <v>8</v>
      </c>
      <c r="F19" s="5">
        <v>520</v>
      </c>
      <c r="G19" s="5">
        <v>248</v>
      </c>
      <c r="H19" s="5">
        <v>272</v>
      </c>
    </row>
    <row r="20" spans="1:8" x14ac:dyDescent="0.2">
      <c r="A20" s="3">
        <v>46189</v>
      </c>
      <c r="B20" t="s">
        <v>8</v>
      </c>
      <c r="C20" t="s">
        <v>9</v>
      </c>
      <c r="D20" t="s">
        <v>15</v>
      </c>
      <c r="E20" s="4">
        <v>2</v>
      </c>
      <c r="F20" s="5">
        <v>1840</v>
      </c>
      <c r="G20" s="5">
        <v>1380</v>
      </c>
      <c r="H20" s="5">
        <v>460</v>
      </c>
    </row>
    <row r="21" spans="1:8" x14ac:dyDescent="0.2">
      <c r="A21" s="3">
        <v>46198</v>
      </c>
      <c r="B21" t="s">
        <v>11</v>
      </c>
      <c r="C21" t="s">
        <v>9</v>
      </c>
      <c r="D21" t="s">
        <v>17</v>
      </c>
      <c r="E21" s="4">
        <v>5</v>
      </c>
      <c r="F21" s="5">
        <v>1800</v>
      </c>
      <c r="G21" s="5">
        <v>1275</v>
      </c>
      <c r="H21" s="5">
        <v>525</v>
      </c>
    </row>
    <row r="22" spans="1:8" x14ac:dyDescent="0.2">
      <c r="A22" s="3">
        <v>46207</v>
      </c>
      <c r="B22" t="s">
        <v>13</v>
      </c>
      <c r="C22" t="s">
        <v>14</v>
      </c>
      <c r="D22" t="s">
        <v>10</v>
      </c>
      <c r="E22" s="4">
        <v>8</v>
      </c>
      <c r="F22" s="5">
        <v>2320</v>
      </c>
      <c r="G22" s="5">
        <v>1640</v>
      </c>
      <c r="H22" s="5">
        <v>680</v>
      </c>
    </row>
    <row r="23" spans="1:8" x14ac:dyDescent="0.2">
      <c r="A23" s="3">
        <v>46216</v>
      </c>
      <c r="B23" t="s">
        <v>16</v>
      </c>
      <c r="C23" t="s">
        <v>14</v>
      </c>
      <c r="D23" t="s">
        <v>12</v>
      </c>
      <c r="E23" s="4">
        <v>2</v>
      </c>
      <c r="F23" s="5">
        <v>1020</v>
      </c>
      <c r="G23" s="5">
        <v>740</v>
      </c>
      <c r="H23" s="5">
        <v>280</v>
      </c>
    </row>
    <row r="24" spans="1:8" x14ac:dyDescent="0.2">
      <c r="A24" s="3">
        <v>46225</v>
      </c>
      <c r="B24" t="s">
        <v>18</v>
      </c>
      <c r="C24" t="s">
        <v>19</v>
      </c>
      <c r="D24" t="s">
        <v>15</v>
      </c>
      <c r="E24" s="4">
        <v>5</v>
      </c>
      <c r="F24" s="5">
        <v>475</v>
      </c>
      <c r="G24" s="5">
        <v>270</v>
      </c>
      <c r="H24" s="5">
        <v>205</v>
      </c>
    </row>
    <row r="25" spans="1:8" x14ac:dyDescent="0.2">
      <c r="A25" s="3">
        <v>46234</v>
      </c>
      <c r="B25" t="s">
        <v>20</v>
      </c>
      <c r="C25" t="s">
        <v>19</v>
      </c>
      <c r="D25" t="s">
        <v>17</v>
      </c>
      <c r="E25" s="4">
        <v>8</v>
      </c>
      <c r="F25" s="5">
        <v>520</v>
      </c>
      <c r="G25" s="5">
        <v>248</v>
      </c>
      <c r="H25" s="5">
        <v>272</v>
      </c>
    </row>
    <row r="26" spans="1:8" x14ac:dyDescent="0.2">
      <c r="A26" s="3">
        <v>46243</v>
      </c>
      <c r="B26" t="s">
        <v>8</v>
      </c>
      <c r="C26" t="s">
        <v>9</v>
      </c>
      <c r="D26" t="s">
        <v>10</v>
      </c>
      <c r="E26" s="4">
        <v>2</v>
      </c>
      <c r="F26" s="5">
        <v>1840</v>
      </c>
      <c r="G26" s="5">
        <v>1380</v>
      </c>
      <c r="H26" s="5">
        <v>460</v>
      </c>
    </row>
    <row r="27" spans="1:8" x14ac:dyDescent="0.2">
      <c r="A27" s="3">
        <v>46252</v>
      </c>
      <c r="B27" t="s">
        <v>11</v>
      </c>
      <c r="C27" t="s">
        <v>9</v>
      </c>
      <c r="D27" t="s">
        <v>12</v>
      </c>
      <c r="E27" s="4">
        <v>5</v>
      </c>
      <c r="F27" s="5">
        <v>1800</v>
      </c>
      <c r="G27" s="5">
        <v>1275</v>
      </c>
      <c r="H27" s="5">
        <v>525</v>
      </c>
    </row>
    <row r="28" spans="1:8" x14ac:dyDescent="0.2">
      <c r="A28" s="3">
        <v>46261</v>
      </c>
      <c r="B28" t="s">
        <v>13</v>
      </c>
      <c r="C28" t="s">
        <v>14</v>
      </c>
      <c r="D28" t="s">
        <v>15</v>
      </c>
      <c r="E28" s="4">
        <v>8</v>
      </c>
      <c r="F28" s="5">
        <v>2320</v>
      </c>
      <c r="G28" s="5">
        <v>1640</v>
      </c>
      <c r="H28" s="5">
        <v>680</v>
      </c>
    </row>
    <row r="29" spans="1:8" x14ac:dyDescent="0.2">
      <c r="A29" s="3">
        <v>46270</v>
      </c>
      <c r="B29" t="s">
        <v>16</v>
      </c>
      <c r="C29" t="s">
        <v>14</v>
      </c>
      <c r="D29" t="s">
        <v>17</v>
      </c>
      <c r="E29" s="4">
        <v>2</v>
      </c>
      <c r="F29" s="5">
        <v>1020</v>
      </c>
      <c r="G29" s="5">
        <v>740</v>
      </c>
      <c r="H29" s="5">
        <v>280</v>
      </c>
    </row>
    <row r="30" spans="1:8" x14ac:dyDescent="0.2">
      <c r="A30" s="3">
        <v>46279</v>
      </c>
      <c r="B30" t="s">
        <v>18</v>
      </c>
      <c r="C30" t="s">
        <v>19</v>
      </c>
      <c r="D30" t="s">
        <v>10</v>
      </c>
      <c r="E30" s="4">
        <v>5</v>
      </c>
      <c r="F30" s="5">
        <v>475</v>
      </c>
      <c r="G30" s="5">
        <v>270</v>
      </c>
      <c r="H30" s="5">
        <v>205</v>
      </c>
    </row>
    <row r="31" spans="1:8" x14ac:dyDescent="0.2">
      <c r="A31" s="3">
        <v>46288</v>
      </c>
      <c r="B31" t="s">
        <v>20</v>
      </c>
      <c r="C31" t="s">
        <v>19</v>
      </c>
      <c r="D31" t="s">
        <v>12</v>
      </c>
      <c r="E31" s="4">
        <v>8</v>
      </c>
      <c r="F31" s="5">
        <v>520</v>
      </c>
      <c r="G31" s="5">
        <v>248</v>
      </c>
      <c r="H31" s="5">
        <v>272</v>
      </c>
    </row>
    <row r="32" spans="1:8" x14ac:dyDescent="0.2">
      <c r="A32" s="3">
        <v>46297</v>
      </c>
      <c r="B32" t="s">
        <v>8</v>
      </c>
      <c r="C32" t="s">
        <v>9</v>
      </c>
      <c r="D32" t="s">
        <v>15</v>
      </c>
      <c r="E32" s="4">
        <v>2</v>
      </c>
      <c r="F32" s="5">
        <v>1840</v>
      </c>
      <c r="G32" s="5">
        <v>1380</v>
      </c>
      <c r="H32" s="5">
        <v>460</v>
      </c>
    </row>
    <row r="33" spans="1:8" x14ac:dyDescent="0.2">
      <c r="A33" s="3">
        <v>46306</v>
      </c>
      <c r="B33" t="s">
        <v>11</v>
      </c>
      <c r="C33" t="s">
        <v>9</v>
      </c>
      <c r="D33" t="s">
        <v>17</v>
      </c>
      <c r="E33" s="4">
        <v>5</v>
      </c>
      <c r="F33" s="5">
        <v>1800</v>
      </c>
      <c r="G33" s="5">
        <v>1275</v>
      </c>
      <c r="H33" s="5">
        <v>525</v>
      </c>
    </row>
    <row r="34" spans="1:8" x14ac:dyDescent="0.2">
      <c r="A34" s="3">
        <v>46315</v>
      </c>
      <c r="B34" t="s">
        <v>13</v>
      </c>
      <c r="C34" t="s">
        <v>14</v>
      </c>
      <c r="D34" t="s">
        <v>10</v>
      </c>
      <c r="E34" s="4">
        <v>8</v>
      </c>
      <c r="F34" s="5">
        <v>2320</v>
      </c>
      <c r="G34" s="5">
        <v>1640</v>
      </c>
      <c r="H34" s="5">
        <v>680</v>
      </c>
    </row>
    <row r="35" spans="1:8" x14ac:dyDescent="0.2">
      <c r="A35" s="3">
        <v>46324</v>
      </c>
      <c r="B35" t="s">
        <v>16</v>
      </c>
      <c r="C35" t="s">
        <v>14</v>
      </c>
      <c r="D35" t="s">
        <v>12</v>
      </c>
      <c r="E35" s="4">
        <v>2</v>
      </c>
      <c r="F35" s="5">
        <v>1020</v>
      </c>
      <c r="G35" s="5">
        <v>740</v>
      </c>
      <c r="H35" s="5">
        <v>280</v>
      </c>
    </row>
    <row r="36" spans="1:8" x14ac:dyDescent="0.2">
      <c r="A36" s="3">
        <v>46333</v>
      </c>
      <c r="B36" t="s">
        <v>18</v>
      </c>
      <c r="C36" t="s">
        <v>19</v>
      </c>
      <c r="D36" t="s">
        <v>15</v>
      </c>
      <c r="E36" s="4">
        <v>5</v>
      </c>
      <c r="F36" s="5">
        <v>475</v>
      </c>
      <c r="G36" s="5">
        <v>270</v>
      </c>
      <c r="H36" s="5">
        <v>205</v>
      </c>
    </row>
    <row r="37" spans="1:8" x14ac:dyDescent="0.2">
      <c r="A37" s="3">
        <v>46342</v>
      </c>
      <c r="B37" t="s">
        <v>20</v>
      </c>
      <c r="C37" t="s">
        <v>19</v>
      </c>
      <c r="D37" t="s">
        <v>17</v>
      </c>
      <c r="E37" s="4">
        <v>8</v>
      </c>
      <c r="F37" s="5">
        <v>520</v>
      </c>
      <c r="G37" s="5">
        <v>248</v>
      </c>
      <c r="H37" s="5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zoomScaleNormal="60" zoomScaleSheetLayoutView="100" workbookViewId="0"/>
  </sheetViews>
  <sheetFormatPr defaultRowHeight="15" x14ac:dyDescent="0.2"/>
  <cols>
    <col min="1" max="1" width="18.0234375" customWidth="1"/>
    <col min="2" max="2" width="16.0078125" customWidth="1"/>
    <col min="3" max="7" width="13.98828125" customWidth="1"/>
    <col min="8" max="8" width="13.046875" customWidth="1"/>
    <col min="9" max="9" width="16.0078125" customWidth="1"/>
  </cols>
  <sheetData>
    <row r="1" spans="1:9" x14ac:dyDescent="0.2">
      <c r="A1" s="2" t="s">
        <v>1</v>
      </c>
      <c r="B1" s="2" t="s">
        <v>2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</row>
    <row r="2" spans="1:9" x14ac:dyDescent="0.2">
      <c r="A2" t="s">
        <v>8</v>
      </c>
      <c r="B2" t="s">
        <v>9</v>
      </c>
      <c r="C2" s="4">
        <v>47</v>
      </c>
      <c r="D2" s="4">
        <v>12</v>
      </c>
      <c r="E2" s="4">
        <v>35</v>
      </c>
      <c r="F2" s="4">
        <v>25</v>
      </c>
      <c r="G2" t="s">
        <v>28</v>
      </c>
      <c r="H2" s="5">
        <v>690</v>
      </c>
      <c r="I2" s="5">
        <v>24150</v>
      </c>
    </row>
    <row r="3" spans="1:9" x14ac:dyDescent="0.2">
      <c r="A3" t="s">
        <v>11</v>
      </c>
      <c r="B3" t="s">
        <v>9</v>
      </c>
      <c r="C3" s="4">
        <v>72</v>
      </c>
      <c r="D3" s="4">
        <v>30</v>
      </c>
      <c r="E3" s="4">
        <v>42</v>
      </c>
      <c r="F3" s="4">
        <v>25</v>
      </c>
      <c r="G3" t="s">
        <v>28</v>
      </c>
      <c r="H3" s="5">
        <v>255</v>
      </c>
      <c r="I3" s="5">
        <v>10710</v>
      </c>
    </row>
    <row r="4" spans="1:9" x14ac:dyDescent="0.2">
      <c r="A4" t="s">
        <v>13</v>
      </c>
      <c r="B4" t="s">
        <v>14</v>
      </c>
      <c r="C4" s="4">
        <v>97</v>
      </c>
      <c r="D4" s="4">
        <v>48</v>
      </c>
      <c r="E4" s="4">
        <v>49</v>
      </c>
      <c r="F4" s="4">
        <v>25</v>
      </c>
      <c r="G4" t="s">
        <v>28</v>
      </c>
      <c r="H4" s="5">
        <v>205</v>
      </c>
      <c r="I4" s="5">
        <v>10045</v>
      </c>
    </row>
    <row r="5" spans="1:9" x14ac:dyDescent="0.2">
      <c r="A5" t="s">
        <v>16</v>
      </c>
      <c r="B5" t="s">
        <v>14</v>
      </c>
      <c r="C5" s="4">
        <v>68</v>
      </c>
      <c r="D5" s="4">
        <v>12</v>
      </c>
      <c r="E5" s="4">
        <v>56</v>
      </c>
      <c r="F5" s="4">
        <v>25</v>
      </c>
      <c r="G5" t="s">
        <v>28</v>
      </c>
      <c r="H5" s="5">
        <v>370</v>
      </c>
      <c r="I5" s="5">
        <v>20720</v>
      </c>
    </row>
    <row r="6" spans="1:9" x14ac:dyDescent="0.2">
      <c r="A6" t="s">
        <v>18</v>
      </c>
      <c r="B6" t="s">
        <v>19</v>
      </c>
      <c r="C6" s="4">
        <v>93</v>
      </c>
      <c r="D6" s="4">
        <v>30</v>
      </c>
      <c r="E6" s="4">
        <v>63</v>
      </c>
      <c r="F6" s="4">
        <v>25</v>
      </c>
      <c r="G6" t="s">
        <v>28</v>
      </c>
      <c r="H6" s="5">
        <v>54</v>
      </c>
      <c r="I6" s="5">
        <v>3402</v>
      </c>
    </row>
    <row r="7" spans="1:9" x14ac:dyDescent="0.2">
      <c r="A7" t="s">
        <v>20</v>
      </c>
      <c r="B7" t="s">
        <v>19</v>
      </c>
      <c r="C7" s="4">
        <v>118</v>
      </c>
      <c r="D7" s="4">
        <v>48</v>
      </c>
      <c r="E7" s="4">
        <v>70</v>
      </c>
      <c r="F7" s="4">
        <v>25</v>
      </c>
      <c r="G7" t="s">
        <v>28</v>
      </c>
      <c r="H7" s="5">
        <v>31</v>
      </c>
      <c r="I7" s="5">
        <v>2170</v>
      </c>
    </row>
  </sheetData>
  <conditionalFormatting sqref="G2:G7">
    <cfRule type="expression" dxfId="1" priority="1">
      <formula>G2="LOW STOCK"</formula>
    </cfRule>
    <cfRule type="expression" dxfId="0" priority="2">
      <formula>G2="IN STOCK"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"/>
  <sheetViews>
    <sheetView zoomScaleNormal="60" zoomScaleSheetLayoutView="100" workbookViewId="0"/>
  </sheetViews>
  <sheetFormatPr defaultRowHeight="15" x14ac:dyDescent="0.2"/>
  <cols>
    <col min="1" max="12" width="13.046875" customWidth="1"/>
  </cols>
  <sheetData>
    <row r="1" spans="1:12" x14ac:dyDescent="0.2">
      <c r="A1" s="10" t="s">
        <v>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4" spans="1:12" x14ac:dyDescent="0.2">
      <c r="A4" s="11" t="s">
        <v>30</v>
      </c>
      <c r="B4" s="11"/>
      <c r="C4" s="11"/>
      <c r="D4" s="11" t="s">
        <v>31</v>
      </c>
      <c r="E4" s="11"/>
      <c r="F4" s="11"/>
      <c r="G4" s="11" t="s">
        <v>32</v>
      </c>
      <c r="H4" s="11"/>
      <c r="I4" s="11"/>
      <c r="J4" s="11" t="s">
        <v>33</v>
      </c>
      <c r="K4" s="11"/>
      <c r="L4" s="11"/>
    </row>
    <row r="5" spans="1:12" x14ac:dyDescent="0.2">
      <c r="A5" s="12">
        <f>SUM(داده‌ها!F2:F37)</f>
        <v>47850</v>
      </c>
      <c r="B5" s="12"/>
      <c r="C5" s="12"/>
      <c r="D5" s="12">
        <f>SUM(داده‌ها!H2:H37)</f>
        <v>14532</v>
      </c>
      <c r="E5" s="12"/>
      <c r="F5" s="12"/>
      <c r="G5" s="13">
        <f>IFERROR(SUM(داده‌ها!H2:H37)/SUM(داده‌ها!F2:F37),0)</f>
        <v>0.30369905956112853</v>
      </c>
      <c r="H5" s="13"/>
      <c r="I5" s="13"/>
      <c r="J5" s="14">
        <f>SUM(داده‌ها!E2:E37)</f>
        <v>180</v>
      </c>
      <c r="K5" s="14"/>
      <c r="L5" s="14"/>
    </row>
    <row r="6" spans="1:12" x14ac:dyDescent="0.2">
      <c r="A6" s="12"/>
      <c r="B6" s="12"/>
      <c r="C6" s="12"/>
      <c r="D6" s="12"/>
      <c r="E6" s="12"/>
      <c r="F6" s="12"/>
      <c r="G6" s="13"/>
      <c r="H6" s="13"/>
      <c r="I6" s="13"/>
      <c r="J6" s="14"/>
      <c r="K6" s="14"/>
      <c r="L6" s="14"/>
    </row>
    <row r="9" spans="1:12" x14ac:dyDescent="0.2">
      <c r="A9" s="1" t="s">
        <v>34</v>
      </c>
      <c r="B9" s="1" t="s">
        <v>5</v>
      </c>
      <c r="C9" s="1" t="s">
        <v>7</v>
      </c>
      <c r="E9" s="1" t="s">
        <v>2</v>
      </c>
      <c r="F9" s="1" t="s">
        <v>5</v>
      </c>
      <c r="G9" s="1" t="s">
        <v>7</v>
      </c>
      <c r="I9" s="1" t="s">
        <v>3</v>
      </c>
      <c r="J9" s="1" t="s">
        <v>5</v>
      </c>
      <c r="K9" s="1" t="s">
        <v>7</v>
      </c>
    </row>
    <row r="10" spans="1:12" x14ac:dyDescent="0.2">
      <c r="A10" s="6">
        <v>46023</v>
      </c>
      <c r="B10" s="5">
        <f>SUMIFS(داده‌ها!$F$2:$F$37,داده‌ها!$A$2:$A$37,"&gt;="&amp;A10,داده‌ها!$A$2:$A$37,"&lt;"&amp;EDATE(A10,1))</f>
        <v>5960</v>
      </c>
      <c r="C10" s="5">
        <f>SUMIFS(داده‌ها!$H$2:$H$37,داده‌ها!$A$2:$A$37,"&gt;="&amp;A10,داده‌ها!$A$2:$A$37,"&lt;"&amp;EDATE(A10,1))</f>
        <v>1665</v>
      </c>
      <c r="E10" t="s">
        <v>9</v>
      </c>
      <c r="F10" s="5">
        <f>SUMIF(داده‌ها!$C$2:$C$37,E10,داده‌ها!$F$2:$F$37)</f>
        <v>21840</v>
      </c>
      <c r="G10" s="5">
        <f>SUMIF(داده‌ها!$C$2:$C$37,E10,داده‌ها!$H$2:$H$37)</f>
        <v>5910</v>
      </c>
      <c r="I10" t="s">
        <v>10</v>
      </c>
      <c r="J10" s="5">
        <f>SUMIF(داده‌ها!$D$2:$D$37,I10,داده‌ها!$F$2:$F$37)</f>
        <v>13905</v>
      </c>
      <c r="K10" s="5">
        <f>SUMIF(داده‌ها!$D$2:$D$37,I10,داده‌ها!$H$2:$H$37)</f>
        <v>4035</v>
      </c>
    </row>
    <row r="11" spans="1:12" x14ac:dyDescent="0.2">
      <c r="A11" s="6">
        <v>46054</v>
      </c>
      <c r="B11" s="5">
        <f>SUMIFS(داده‌ها!$F$2:$F$37,داده‌ها!$A$2:$A$37,"&gt;="&amp;A11,داده‌ها!$A$2:$A$37,"&lt;"&amp;EDATE(A11,1))</f>
        <v>3855</v>
      </c>
      <c r="C11" s="5">
        <f>SUMIFS(داده‌ها!$H$2:$H$37,داده‌ها!$A$2:$A$37,"&gt;="&amp;A11,داده‌ها!$A$2:$A$37,"&lt;"&amp;EDATE(A11,1))</f>
        <v>1217</v>
      </c>
      <c r="E11" t="s">
        <v>14</v>
      </c>
      <c r="F11" s="5">
        <f>SUMIF(داده‌ها!$C$2:$C$37,E11,داده‌ها!$F$2:$F$37)</f>
        <v>20040</v>
      </c>
      <c r="G11" s="5">
        <f>SUMIF(داده‌ها!$C$2:$C$37,E11,داده‌ها!$H$2:$H$37)</f>
        <v>5760</v>
      </c>
      <c r="I11" t="s">
        <v>12</v>
      </c>
      <c r="J11" s="5">
        <f>SUMIF(داده‌ها!$D$2:$D$37,I11,داده‌ها!$F$2:$F$37)</f>
        <v>10020</v>
      </c>
      <c r="K11" s="5">
        <f>SUMIF(داده‌ها!$D$2:$D$37,I11,داده‌ها!$H$2:$H$37)</f>
        <v>3231</v>
      </c>
    </row>
    <row r="12" spans="1:12" x14ac:dyDescent="0.2">
      <c r="A12" s="6">
        <v>46082</v>
      </c>
      <c r="B12" s="5">
        <f>SUMIFS(داده‌ها!$F$2:$F$37,داده‌ها!$A$2:$A$37,"&gt;="&amp;A12,داده‌ها!$A$2:$A$37,"&lt;"&amp;EDATE(A12,1))</f>
        <v>5140</v>
      </c>
      <c r="C12" s="5">
        <f>SUMIFS(داده‌ها!$H$2:$H$37,داده‌ها!$A$2:$A$37,"&gt;="&amp;A12,داده‌ها!$A$2:$A$37,"&lt;"&amp;EDATE(A12,1))</f>
        <v>1485</v>
      </c>
      <c r="E12" t="s">
        <v>19</v>
      </c>
      <c r="F12" s="5">
        <f>SUMIF(داده‌ها!$C$2:$C$37,E12,داده‌ها!$F$2:$F$37)</f>
        <v>5970</v>
      </c>
      <c r="G12" s="5">
        <f>SUMIF(داده‌ها!$C$2:$C$37,E12,داده‌ها!$H$2:$H$37)</f>
        <v>2862</v>
      </c>
      <c r="I12" t="s">
        <v>15</v>
      </c>
      <c r="J12" s="5">
        <f>SUMIF(داده‌ها!$D$2:$D$37,I12,داده‌ها!$F$2:$F$37)</f>
        <v>13905</v>
      </c>
      <c r="K12" s="5">
        <f>SUMIF(داده‌ها!$D$2:$D$37,I12,داده‌ها!$H$2:$H$37)</f>
        <v>4035</v>
      </c>
    </row>
    <row r="13" spans="1:12" x14ac:dyDescent="0.2">
      <c r="A13" s="6">
        <v>46113</v>
      </c>
      <c r="B13" s="5">
        <f>SUMIFS(داده‌ها!$F$2:$F$37,داده‌ها!$A$2:$A$37,"&gt;="&amp;A13,داده‌ها!$A$2:$A$37,"&lt;"&amp;EDATE(A13,1))</f>
        <v>2835</v>
      </c>
      <c r="C13" s="5">
        <f>SUMIFS(داده‌ها!$H$2:$H$37,داده‌ها!$A$2:$A$37,"&gt;="&amp;A13,داده‌ها!$A$2:$A$37,"&lt;"&amp;EDATE(A13,1))</f>
        <v>937</v>
      </c>
      <c r="I13" t="s">
        <v>17</v>
      </c>
      <c r="J13" s="5">
        <f>SUMIF(داده‌ها!$D$2:$D$37,I13,داده‌ها!$F$2:$F$37)</f>
        <v>10020</v>
      </c>
      <c r="K13" s="5">
        <f>SUMIF(داده‌ها!$D$2:$D$37,I13,داده‌ها!$H$2:$H$37)</f>
        <v>3231</v>
      </c>
    </row>
    <row r="14" spans="1:12" x14ac:dyDescent="0.2">
      <c r="A14" s="6">
        <v>46143</v>
      </c>
      <c r="B14" s="5">
        <f>SUMIFS(داده‌ها!$F$2:$F$37,داده‌ها!$A$2:$A$37,"&gt;="&amp;A14,داده‌ها!$A$2:$A$37,"&lt;"&amp;EDATE(A14,1))</f>
        <v>5615</v>
      </c>
      <c r="C14" s="5">
        <f>SUMIFS(داده‌ها!$H$2:$H$37,داده‌ها!$A$2:$A$37,"&gt;="&amp;A14,داده‌ها!$A$2:$A$37,"&lt;"&amp;EDATE(A14,1))</f>
        <v>1690</v>
      </c>
    </row>
    <row r="15" spans="1:12" x14ac:dyDescent="0.2">
      <c r="A15" s="6">
        <v>46174</v>
      </c>
      <c r="B15" s="5">
        <f>SUMIFS(داده‌ها!$F$2:$F$37,داده‌ها!$A$2:$A$37,"&gt;="&amp;A15,داده‌ها!$A$2:$A$37,"&lt;"&amp;EDATE(A15,1))</f>
        <v>4160</v>
      </c>
      <c r="C15" s="5">
        <f>SUMIFS(داده‌ها!$H$2:$H$37,داده‌ها!$A$2:$A$37,"&gt;="&amp;A15,داده‌ها!$A$2:$A$37,"&lt;"&amp;EDATE(A15,1))</f>
        <v>1257</v>
      </c>
      <c r="E15" s="11" t="s">
        <v>35</v>
      </c>
      <c r="F15" s="11"/>
      <c r="G15" s="11"/>
      <c r="H15" s="11"/>
    </row>
    <row r="16" spans="1:12" x14ac:dyDescent="0.2">
      <c r="A16" s="6">
        <v>46204</v>
      </c>
      <c r="B16" s="5">
        <f>SUMIFS(داده‌ها!$F$2:$F$37,داده‌ها!$A$2:$A$37,"&gt;="&amp;A16,داده‌ها!$A$2:$A$37,"&lt;"&amp;EDATE(A16,1))</f>
        <v>4335</v>
      </c>
      <c r="C16" s="5">
        <f>SUMIFS(داده‌ها!$H$2:$H$37,داده‌ها!$A$2:$A$37,"&gt;="&amp;A16,داده‌ها!$A$2:$A$37,"&lt;"&amp;EDATE(A16,1))</f>
        <v>1437</v>
      </c>
      <c r="E16" t="s">
        <v>36</v>
      </c>
      <c r="G16" s="5">
        <f>SUM(موجودی!I2:I7)</f>
        <v>71197</v>
      </c>
    </row>
    <row r="17" spans="1:7" x14ac:dyDescent="0.2">
      <c r="A17" s="6">
        <v>46235</v>
      </c>
      <c r="B17" s="5">
        <f>SUMIFS(داده‌ها!$F$2:$F$37,داده‌ها!$A$2:$A$37,"&gt;="&amp;A17,داده‌ها!$A$2:$A$37,"&lt;"&amp;EDATE(A17,1))</f>
        <v>5960</v>
      </c>
      <c r="C17" s="5">
        <f>SUMIFS(داده‌ها!$H$2:$H$37,داده‌ها!$A$2:$A$37,"&gt;="&amp;A17,داده‌ها!$A$2:$A$37,"&lt;"&amp;EDATE(A17,1))</f>
        <v>1665</v>
      </c>
      <c r="E17" t="s">
        <v>37</v>
      </c>
      <c r="G17">
        <f>COUNTIF(موجودی!G2:G7,"LOW STOCK")</f>
        <v>0</v>
      </c>
    </row>
    <row r="18" spans="1:7" x14ac:dyDescent="0.2">
      <c r="A18" s="6">
        <v>46266</v>
      </c>
      <c r="B18" s="5">
        <f>SUMIFS(داده‌ها!$F$2:$F$37,داده‌ها!$A$2:$A$37,"&gt;="&amp;A18,داده‌ها!$A$2:$A$37,"&lt;"&amp;EDATE(A18,1))</f>
        <v>2015</v>
      </c>
      <c r="C18" s="5">
        <f>SUMIFS(داده‌ها!$H$2:$H$37,داده‌ها!$A$2:$A$37,"&gt;="&amp;A18,داده‌ها!$A$2:$A$37,"&lt;"&amp;EDATE(A18,1))</f>
        <v>757</v>
      </c>
      <c r="E18" t="s">
        <v>38</v>
      </c>
      <c r="G18">
        <f>COUNTA(موجودی!A2:A7)</f>
        <v>6</v>
      </c>
    </row>
    <row r="19" spans="1:7" x14ac:dyDescent="0.2">
      <c r="A19" s="6">
        <v>46296</v>
      </c>
      <c r="B19" s="5">
        <f>SUMIFS(داده‌ها!$F$2:$F$37,داده‌ها!$A$2:$A$37,"&gt;="&amp;A19,داده‌ها!$A$2:$A$37,"&lt;"&amp;EDATE(A19,1))</f>
        <v>6980</v>
      </c>
      <c r="C19" s="5">
        <f>SUMIFS(داده‌ها!$H$2:$H$37,داده‌ها!$A$2:$A$37,"&gt;="&amp;A19,داده‌ها!$A$2:$A$37,"&lt;"&amp;EDATE(A19,1))</f>
        <v>1945</v>
      </c>
    </row>
    <row r="20" spans="1:7" x14ac:dyDescent="0.2">
      <c r="A20" s="6">
        <v>46327</v>
      </c>
      <c r="B20" s="5">
        <f>SUMIFS(داده‌ها!$F$2:$F$37,داده‌ها!$A$2:$A$37,"&gt;="&amp;A20,داده‌ها!$A$2:$A$37,"&lt;"&amp;EDATE(A20,1))</f>
        <v>995</v>
      </c>
      <c r="C20" s="5">
        <f>SUMIFS(داده‌ها!$H$2:$H$37,داده‌ها!$A$2:$A$37,"&gt;="&amp;A20,داده‌ها!$A$2:$A$37,"&lt;"&amp;EDATE(A20,1))</f>
        <v>477</v>
      </c>
    </row>
    <row r="21" spans="1:7" x14ac:dyDescent="0.2">
      <c r="A21" s="6">
        <v>46357</v>
      </c>
      <c r="B21" s="5">
        <f>SUMIFS(داده‌ها!$F$2:$F$37,داده‌ها!$A$2:$A$37,"&gt;="&amp;A21,داده‌ها!$A$2:$A$37,"&lt;"&amp;EDATE(A21,1))</f>
        <v>0</v>
      </c>
      <c r="C21" s="5">
        <f>SUMIFS(داده‌ها!$H$2:$H$37,داده‌ها!$A$2:$A$37,"&gt;="&amp;A21,داده‌ها!$A$2:$A$37,"&lt;"&amp;EDATE(A21,1))</f>
        <v>0</v>
      </c>
    </row>
  </sheetData>
  <mergeCells count="10">
    <mergeCell ref="E15:H15"/>
    <mergeCell ref="A1:L2"/>
    <mergeCell ref="A4:C4"/>
    <mergeCell ref="A5:C6"/>
    <mergeCell ref="D4:F4"/>
    <mergeCell ref="D5:F6"/>
    <mergeCell ref="G4:I4"/>
    <mergeCell ref="G5:I6"/>
    <mergeCell ref="J4:L4"/>
    <mergeCell ref="J5:L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zoomScaleNormal="60" zoomScaleSheetLayoutView="100" workbookViewId="0"/>
  </sheetViews>
  <sheetFormatPr defaultRowHeight="15" x14ac:dyDescent="0.2"/>
  <sheetData>
    <row r="1" spans="1:8" x14ac:dyDescent="0.2">
      <c r="A1" s="15" t="s">
        <v>39</v>
      </c>
      <c r="B1" s="15"/>
      <c r="C1" s="15"/>
      <c r="D1" s="15"/>
      <c r="E1" s="15"/>
      <c r="F1" s="15"/>
      <c r="G1" s="15"/>
      <c r="H1" s="15"/>
    </row>
    <row r="2" spans="1:8" x14ac:dyDescent="0.2">
      <c r="A2" s="15"/>
      <c r="B2" s="15"/>
      <c r="C2" s="15"/>
      <c r="D2" s="15"/>
      <c r="E2" s="15"/>
      <c r="F2" s="15"/>
      <c r="G2" s="15"/>
      <c r="H2" s="15"/>
    </row>
    <row r="4" spans="1:8" x14ac:dyDescent="0.2">
      <c r="A4" s="7" t="s">
        <v>0</v>
      </c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</row>
    <row r="5" spans="1:8" x14ac:dyDescent="0.2">
      <c r="A5" s="3"/>
      <c r="E5" s="5"/>
      <c r="F5" s="5"/>
      <c r="G5" s="5"/>
      <c r="H5" s="5"/>
    </row>
    <row r="6" spans="1:8" x14ac:dyDescent="0.2">
      <c r="A6" s="3"/>
      <c r="E6" s="5"/>
      <c r="F6" s="5"/>
      <c r="G6" s="5"/>
      <c r="H6" s="5"/>
    </row>
    <row r="7" spans="1:8" x14ac:dyDescent="0.2">
      <c r="A7" s="3"/>
      <c r="E7" s="5"/>
      <c r="F7" s="5"/>
      <c r="G7" s="5"/>
      <c r="H7" s="5"/>
    </row>
    <row r="8" spans="1:8" x14ac:dyDescent="0.2">
      <c r="A8" s="3"/>
      <c r="E8" s="5"/>
      <c r="F8" s="5"/>
      <c r="G8" s="5"/>
      <c r="H8" s="5"/>
    </row>
    <row r="9" spans="1:8" x14ac:dyDescent="0.2">
      <c r="A9" s="3"/>
      <c r="E9" s="5"/>
      <c r="F9" s="5"/>
      <c r="G9" s="5"/>
      <c r="H9" s="5"/>
    </row>
    <row r="10" spans="1:8" x14ac:dyDescent="0.2">
      <c r="A10" s="3"/>
      <c r="E10" s="5"/>
      <c r="F10" s="5"/>
      <c r="G10" s="5"/>
      <c r="H10" s="5"/>
    </row>
    <row r="11" spans="1:8" x14ac:dyDescent="0.2">
      <c r="A11" s="3"/>
      <c r="E11" s="5"/>
      <c r="F11" s="5"/>
      <c r="G11" s="5"/>
      <c r="H11" s="5"/>
    </row>
    <row r="12" spans="1:8" x14ac:dyDescent="0.2">
      <c r="A12" s="3"/>
      <c r="E12" s="5"/>
      <c r="F12" s="5"/>
      <c r="G12" s="5"/>
      <c r="H12" s="5"/>
    </row>
    <row r="13" spans="1:8" x14ac:dyDescent="0.2">
      <c r="A13" s="3"/>
      <c r="E13" s="5"/>
      <c r="F13" s="5"/>
      <c r="G13" s="5"/>
      <c r="H13" s="5"/>
    </row>
    <row r="14" spans="1:8" x14ac:dyDescent="0.2">
      <c r="A14" s="3"/>
      <c r="E14" s="5"/>
      <c r="F14" s="5"/>
      <c r="G14" s="5"/>
      <c r="H14" s="5"/>
    </row>
    <row r="15" spans="1:8" x14ac:dyDescent="0.2">
      <c r="A15" s="3"/>
      <c r="E15" s="5"/>
      <c r="F15" s="5"/>
      <c r="G15" s="5"/>
      <c r="H15" s="5"/>
    </row>
    <row r="16" spans="1:8" x14ac:dyDescent="0.2">
      <c r="A16" s="3"/>
      <c r="E16" s="5"/>
      <c r="F16" s="5"/>
      <c r="G16" s="5"/>
      <c r="H16" s="5"/>
    </row>
    <row r="17" spans="1:8" x14ac:dyDescent="0.2">
      <c r="A17" s="3"/>
      <c r="E17" s="5"/>
      <c r="F17" s="5"/>
      <c r="G17" s="5"/>
      <c r="H17" s="5"/>
    </row>
    <row r="18" spans="1:8" x14ac:dyDescent="0.2">
      <c r="A18" s="3"/>
      <c r="E18" s="5"/>
      <c r="F18" s="5"/>
      <c r="G18" s="5"/>
      <c r="H18" s="5"/>
    </row>
    <row r="19" spans="1:8" x14ac:dyDescent="0.2">
      <c r="A19" s="3"/>
      <c r="E19" s="5"/>
      <c r="F19" s="5"/>
      <c r="G19" s="5"/>
      <c r="H19" s="5"/>
    </row>
    <row r="20" spans="1:8" x14ac:dyDescent="0.2">
      <c r="A20" s="3"/>
      <c r="E20" s="5"/>
      <c r="F20" s="5"/>
      <c r="G20" s="5"/>
      <c r="H20" s="5"/>
    </row>
    <row r="21" spans="1:8" x14ac:dyDescent="0.2">
      <c r="A21" s="3"/>
      <c r="E21" s="5"/>
      <c r="F21" s="5"/>
      <c r="G21" s="5"/>
      <c r="H21" s="5"/>
    </row>
    <row r="22" spans="1:8" x14ac:dyDescent="0.2">
      <c r="A22" s="3"/>
      <c r="E22" s="5"/>
      <c r="F22" s="5"/>
      <c r="G22" s="5"/>
      <c r="H22" s="5"/>
    </row>
    <row r="23" spans="1:8" x14ac:dyDescent="0.2">
      <c r="A23" s="3"/>
      <c r="E23" s="5"/>
      <c r="F23" s="5"/>
      <c r="G23" s="5"/>
      <c r="H23" s="5"/>
    </row>
    <row r="24" spans="1:8" x14ac:dyDescent="0.2">
      <c r="A24" s="3"/>
      <c r="E24" s="5"/>
      <c r="F24" s="5"/>
      <c r="G24" s="5"/>
      <c r="H24" s="5"/>
    </row>
    <row r="25" spans="1:8" x14ac:dyDescent="0.2">
      <c r="A25" s="3"/>
      <c r="E25" s="5"/>
      <c r="F25" s="5"/>
      <c r="G25" s="5"/>
      <c r="H25" s="5"/>
    </row>
    <row r="26" spans="1:8" x14ac:dyDescent="0.2">
      <c r="A26" s="3"/>
      <c r="E26" s="5"/>
      <c r="F26" s="5"/>
      <c r="G26" s="5"/>
      <c r="H26" s="5"/>
    </row>
    <row r="27" spans="1:8" x14ac:dyDescent="0.2">
      <c r="A27" s="3"/>
      <c r="E27" s="5"/>
      <c r="F27" s="5"/>
      <c r="G27" s="5"/>
      <c r="H27" s="5"/>
    </row>
    <row r="28" spans="1:8" x14ac:dyDescent="0.2">
      <c r="A28" s="3"/>
      <c r="E28" s="5"/>
      <c r="F28" s="5"/>
      <c r="G28" s="5"/>
      <c r="H28" s="5"/>
    </row>
    <row r="29" spans="1:8" x14ac:dyDescent="0.2">
      <c r="A29" s="3"/>
      <c r="E29" s="5"/>
      <c r="F29" s="5"/>
      <c r="G29" s="5"/>
      <c r="H29" s="5"/>
    </row>
    <row r="30" spans="1:8" x14ac:dyDescent="0.2">
      <c r="A30" s="3"/>
      <c r="E30" s="5"/>
      <c r="F30" s="5"/>
      <c r="G30" s="5"/>
      <c r="H30" s="5"/>
    </row>
  </sheetData>
  <mergeCells count="1">
    <mergeCell ref="A1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9"/>
  <sheetViews>
    <sheetView zoomScaleNormal="60" zoomScaleSheetLayoutView="100" workbookViewId="0"/>
  </sheetViews>
  <sheetFormatPr defaultRowHeight="15" x14ac:dyDescent="0.2"/>
  <cols>
    <col min="1" max="1" width="20.04296875" customWidth="1"/>
    <col min="2" max="2" width="71.96875" customWidth="1"/>
  </cols>
  <sheetData>
    <row r="1" spans="1:6" x14ac:dyDescent="0.2">
      <c r="A1" s="16" t="s">
        <v>40</v>
      </c>
      <c r="B1" s="16"/>
      <c r="C1" s="16"/>
      <c r="D1" s="16"/>
      <c r="E1" s="16"/>
      <c r="F1" s="16"/>
    </row>
    <row r="2" spans="1:6" x14ac:dyDescent="0.2">
      <c r="A2" s="16"/>
      <c r="B2" s="16"/>
      <c r="C2" s="16"/>
      <c r="D2" s="16"/>
      <c r="E2" s="16"/>
      <c r="F2" s="16"/>
    </row>
    <row r="4" spans="1:6" x14ac:dyDescent="0.2">
      <c r="A4" s="8" t="s">
        <v>41</v>
      </c>
      <c r="B4" s="9" t="s">
        <v>42</v>
      </c>
    </row>
    <row r="5" spans="1:6" x14ac:dyDescent="0.2">
      <c r="A5" s="8" t="s">
        <v>43</v>
      </c>
      <c r="B5" s="9" t="s">
        <v>44</v>
      </c>
    </row>
    <row r="6" spans="1:6" x14ac:dyDescent="0.2">
      <c r="A6" s="8" t="s">
        <v>45</v>
      </c>
      <c r="B6" s="9" t="s">
        <v>46</v>
      </c>
    </row>
    <row r="7" spans="1:6" x14ac:dyDescent="0.2">
      <c r="A7" s="8" t="s">
        <v>47</v>
      </c>
      <c r="B7" s="9" t="s">
        <v>48</v>
      </c>
    </row>
    <row r="8" spans="1:6" x14ac:dyDescent="0.2">
      <c r="A8" s="8" t="s">
        <v>49</v>
      </c>
      <c r="B8" s="9" t="s">
        <v>50</v>
      </c>
    </row>
    <row r="9" spans="1:6" x14ac:dyDescent="0.2">
      <c r="A9" s="8" t="s">
        <v>51</v>
      </c>
      <c r="B9" s="9" t="s">
        <v>52</v>
      </c>
    </row>
  </sheetData>
  <mergeCells count="1">
    <mergeCell ref="A1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داده‌ها</vt:lpstr>
      <vt:lpstr>موجودی</vt:lpstr>
      <vt:lpstr>داشبورد مدیریتی</vt:lpstr>
      <vt:lpstr>ورود داده</vt:lpstr>
      <vt:lpstr>راهنما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 mohammadi</dc:creator>
  <dcterms:created xsi:type="dcterms:W3CDTF">2026-10-02T00:12:11Z</dcterms:created>
</cp:coreProperties>
</file>